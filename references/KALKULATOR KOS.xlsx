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https://d.docs.live.net/8e568b6277f55881/Desktop/CSR JABATAN/BAHAN/26.10.25/"/>
    </mc:Choice>
  </mc:AlternateContent>
  <xr:revisionPtr revIDLastSave="39" documentId="13_ncr:1_{0F3F9363-894F-4B61-AEAA-EEA062A239E6}" xr6:coauthVersionLast="47" xr6:coauthVersionMax="47" xr10:uidLastSave="{1706FAB5-7F9C-41B9-AFBB-09C0DA21C768}"/>
  <bookViews>
    <workbookView xWindow="-108" yWindow="-108" windowWidth="23256" windowHeight="12456" activeTab="2" xr2:uid="{00000000-000D-0000-FFFF-FFFF00000000}"/>
  </bookViews>
  <sheets>
    <sheet name="Penerangan" sheetId="4" r:id="rId1"/>
    <sheet name="Input_ayam gunting" sheetId="1" r:id="rId2"/>
    <sheet name="Input_produk" sheetId="5"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18" i="1" l="1"/>
  <c r="E10" i="5"/>
  <c r="E20" i="5"/>
  <c r="E10" i="1"/>
  <c r="E8" i="1"/>
  <c r="E16" i="5"/>
  <c r="E15" i="5"/>
  <c r="E12" i="5"/>
  <c r="E14" i="1"/>
  <c r="E1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E3" authorId="0" shapeId="0" xr:uid="{85ABED5D-3008-4D57-8CAE-59FF47DCCC50}">
      <text>
        <r>
          <rPr>
            <b/>
            <sz val="9"/>
            <color indexed="81"/>
            <rFont val="Tahoma"/>
            <family val="2"/>
          </rPr>
          <t>User:</t>
        </r>
        <r>
          <rPr>
            <sz val="9"/>
            <color indexed="81"/>
            <rFont val="Tahoma"/>
            <family val="2"/>
          </rPr>
          <t xml:space="preserve">
( harga perunit x  kuantiti) / unit pengeluaran = kos per unit</t>
        </r>
      </text>
    </comment>
    <comment ref="A17" authorId="0" shapeId="0" xr:uid="{8E6C4714-E7F5-47C8-AE47-ED7ED69934C4}">
      <text>
        <r>
          <rPr>
            <b/>
            <sz val="9"/>
            <color indexed="81"/>
            <rFont val="Tahoma"/>
            <charset val="1"/>
          </rPr>
          <t>User:</t>
        </r>
        <r>
          <rPr>
            <sz val="9"/>
            <color indexed="81"/>
            <rFont val="Tahoma"/>
            <charset val="1"/>
          </rPr>
          <t xml:space="preserve">
rujuk jadual jam pembuatan di bawah</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E5" authorId="0" shapeId="0" xr:uid="{3F5EEF8F-037D-4C49-A6AE-7F5EBEDDABE2}">
      <text>
        <r>
          <rPr>
            <b/>
            <sz val="9"/>
            <color indexed="81"/>
            <rFont val="Tahoma"/>
            <family val="2"/>
          </rPr>
          <t>User:</t>
        </r>
        <r>
          <rPr>
            <sz val="9"/>
            <color indexed="81"/>
            <rFont val="Tahoma"/>
            <family val="2"/>
          </rPr>
          <t xml:space="preserve">
Harga seunit dibahagi dengan kuantiti per pack</t>
        </r>
      </text>
    </comment>
    <comment ref="A20" authorId="0" shapeId="0" xr:uid="{59ECFD11-DB1B-4CC3-ADDF-CB2B649F701B}">
      <text>
        <r>
          <rPr>
            <b/>
            <sz val="9"/>
            <color indexed="81"/>
            <rFont val="Tahoma"/>
            <charset val="1"/>
          </rPr>
          <t>User:</t>
        </r>
        <r>
          <rPr>
            <sz val="9"/>
            <color indexed="81"/>
            <rFont val="Tahoma"/>
            <charset val="1"/>
          </rPr>
          <t xml:space="preserve">
rujuk jadual jam pembuatan di bawah</t>
        </r>
      </text>
    </comment>
  </commentList>
</comments>
</file>

<file path=xl/sharedStrings.xml><?xml version="1.0" encoding="utf-8"?>
<sst xmlns="http://schemas.openxmlformats.org/spreadsheetml/2006/main" count="75" uniqueCount="59">
  <si>
    <t>Kadar upah langsung (RM/jam)</t>
  </si>
  <si>
    <t>1. Pengenalan Produk</t>
  </si>
  <si>
    <t>2. Pengelasan Kos</t>
  </si>
  <si>
    <t>a. Kos Produk (Manufacturing Costs):</t>
  </si>
  <si>
    <t>- Upah Langsung (Direct Labour): Gaji pekerja yang mengurus proses memotong, menggoreng, dan membungkus ayam.</t>
  </si>
  <si>
    <t>- Overhead Kilang (Manufacturing Overhead): Kos utiliti, sewa dapur, minyak masak tambahan, gas memasak, dan lain-lain.</t>
  </si>
  <si>
    <t>b. Kos Tempoh (Period Costs):</t>
  </si>
  <si>
    <t>- Kos Jualan &amp; Pengedaran: Pengiklanan, penghantaran kepada pelanggan, promosi.</t>
  </si>
  <si>
    <t>3. Elemen Kos dalam Contoh</t>
  </si>
  <si>
    <t>1. Gunakan templat Excel yang diberi.</t>
  </si>
  <si>
    <t>2. Ubah suai andaian kos (contoh: kos ayam semasa, saiz batch, kadar upah, jumlah MOH).</t>
  </si>
  <si>
    <t>3. Lengkapkan Job Cost Sheet berdasarkan pengiraan anda.</t>
  </si>
  <si>
    <t>4. Jelaskan perbezaan kos produk vs kos tempoh.</t>
  </si>
  <si>
    <t>5. Cadangkan harga jual yang wajar dengan mengambil kira margin keuntungan.</t>
  </si>
  <si>
    <t>5. Arahan Peserta/Pelajar</t>
  </si>
  <si>
    <t>- Bahan Langsung (Direct Materials): Ayam mentah, pembungkusan.</t>
  </si>
  <si>
    <t xml:space="preserve">        Penerangan Ringkas – Job Cost Sheet Produk Ayam Gunting</t>
  </si>
  <si>
    <t>Unit per pack</t>
  </si>
  <si>
    <t>Bahan-bahan</t>
  </si>
  <si>
    <t xml:space="preserve">Label </t>
  </si>
  <si>
    <t xml:space="preserve">Tepung </t>
  </si>
  <si>
    <t>Pembungkusan</t>
  </si>
  <si>
    <t>Gaji pekerja</t>
  </si>
  <si>
    <t>Gas</t>
  </si>
  <si>
    <t>Plastik pembungkusan</t>
  </si>
  <si>
    <t>Lesen MPKJ</t>
  </si>
  <si>
    <t>Sewa tapak</t>
  </si>
  <si>
    <t>Bil Internet</t>
  </si>
  <si>
    <t>Gaji tetap</t>
  </si>
  <si>
    <t>Jualan</t>
  </si>
  <si>
    <t>Kertas pembungkus</t>
  </si>
  <si>
    <t>ketul</t>
  </si>
  <si>
    <t>pack</t>
  </si>
  <si>
    <t>kg</t>
  </si>
  <si>
    <t>Minyak</t>
  </si>
  <si>
    <t>jam</t>
  </si>
  <si>
    <t>Bil Air</t>
  </si>
  <si>
    <t>Bil Elektrik</t>
  </si>
  <si>
    <r>
      <t>PRODUK :</t>
    </r>
    <r>
      <rPr>
        <b/>
        <sz val="16"/>
        <color rgb="FFFF0000"/>
        <rFont val="Avenir Next LT Pro"/>
        <family val="2"/>
      </rPr>
      <t xml:space="preserve"> AYAM GUNTING</t>
    </r>
  </si>
  <si>
    <t>KUANTITI</t>
  </si>
  <si>
    <t>KETERANGAN</t>
  </si>
  <si>
    <t>Serbuk cili</t>
  </si>
  <si>
    <t>Unit pengeluaran</t>
  </si>
  <si>
    <r>
      <t>PRODUK :</t>
    </r>
    <r>
      <rPr>
        <b/>
        <sz val="16"/>
        <color rgb="FFFF0000"/>
        <rFont val="Avenir Next LT Pro"/>
        <family val="2"/>
      </rPr>
      <t xml:space="preserve"> </t>
    </r>
  </si>
  <si>
    <t xml:space="preserve">               *</t>
  </si>
  <si>
    <t>- Upah langsung per unit</t>
  </si>
  <si>
    <t>- Overhead pengeluaran</t>
  </si>
  <si>
    <t xml:space="preserve">- Kos jualan &amp; edaran </t>
  </si>
  <si>
    <t xml:space="preserve">- Bahan langsung </t>
  </si>
  <si>
    <t>Ayam gunting ialah makanan jalanan popular di Malaysia, biasanya terdiri daripada ayam yang digoreng rangup, dipotong kecil, dan dibungkus untuk dijual. Bagi tujuan pengiraan kos, andaikan satu batch menghasilkan 14 unit ayam gunting.</t>
  </si>
  <si>
    <t>Ayam</t>
  </si>
  <si>
    <t>Markup yang dikehendaki (%)</t>
  </si>
  <si>
    <r>
      <rPr>
        <b/>
        <sz val="11"/>
        <color theme="1"/>
        <rFont val="Avenir Next LT Pro"/>
        <family val="2"/>
      </rPr>
      <t>*</t>
    </r>
    <r>
      <rPr>
        <sz val="11"/>
        <color theme="1"/>
        <rFont val="Avenir Next LT Pro"/>
        <family val="2"/>
      </rPr>
      <t>Masa kerja (jam) per pack</t>
    </r>
  </si>
  <si>
    <t xml:space="preserve">           *</t>
  </si>
  <si>
    <t>KOS PER UNIT PRODUK (RM)</t>
  </si>
  <si>
    <t>Overhead keseluruhan (sebulan)</t>
  </si>
  <si>
    <t>Isikan maklumat produk pada kotak berwarna</t>
  </si>
  <si>
    <t>HARGA PER UNIT
(RM)</t>
  </si>
  <si>
    <r>
      <rPr>
        <b/>
        <sz val="11"/>
        <rFont val="Avenir Next LT Pro"/>
        <family val="2"/>
      </rPr>
      <t>*</t>
    </r>
    <r>
      <rPr>
        <sz val="11"/>
        <rFont val="Avenir Next LT Pro"/>
        <family val="2"/>
      </rPr>
      <t>Masa kerja (jam) per pack</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</si>
</sst>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14" x14ac:knownFonts="1">
    <font>
      <sz val="11"/>
      <color theme="1"/>
      <name val="Calibri"/>
      <family val="2"/>
      <scheme val="minor"/>
    </font>
    <font>
      <b/>
      <sz val="11"/>
      <name val="Avenir Next LT Pro"/>
      <family val="2"/>
    </font>
    <font>
      <sz val="11"/>
      <color theme="1"/>
      <name val="Avenir Next LT Pro"/>
      <family val="2"/>
    </font>
    <font>
      <sz val="11"/>
      <name val="Avenir Next LT Pro"/>
      <family val="2"/>
    </font>
    <font>
      <sz val="11"/>
      <color theme="1"/>
      <name val="Calibri"/>
      <family val="2"/>
      <scheme val="minor"/>
    </font>
    <font>
      <b/>
      <sz val="11"/>
      <color theme="1"/>
      <name val="Avenir Next LT Pro"/>
      <family val="2"/>
    </font>
    <font>
      <sz val="9"/>
      <color indexed="81"/>
      <name val="Tahoma"/>
      <family val="2"/>
    </font>
    <font>
      <b/>
      <sz val="9"/>
      <color indexed="81"/>
      <name val="Tahoma"/>
      <family val="2"/>
    </font>
    <font>
      <b/>
      <sz val="16"/>
      <color theme="1"/>
      <name val="Avenir Next LT Pro"/>
      <family val="2"/>
    </font>
    <font>
      <b/>
      <sz val="16"/>
      <color rgb="FFFF0000"/>
      <name val="Avenir Next LT Pro"/>
      <family val="2"/>
    </font>
    <font>
      <sz val="9"/>
      <color indexed="81"/>
      <name val="Tahoma"/>
      <charset val="1"/>
    </font>
    <font>
      <b/>
      <sz val="9"/>
      <color indexed="81"/>
      <name val="Tahoma"/>
      <charset val="1"/>
    </font>
    <font>
      <b/>
      <sz val="11"/>
      <color rgb="FFFF0000"/>
      <name val="Avenir Next LT Pro"/>
      <family val="2"/>
    </font>
    <font>
      <b/>
      <sz val="12"/>
      <color rgb="FFFF0000"/>
      <name val="Avenir Next LT Pro"/>
      <family val="2"/>
    </font>
  </fonts>
  <fills count="6">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8" tint="0.79998168889431442"/>
        <bgColor indexed="64"/>
      </patternFill>
    </fill>
    <fill>
      <patternFill patternType="solid">
        <fgColor theme="9" tint="0.59999389629810485"/>
        <bgColor indexed="64"/>
      </patternFill>
    </fill>
  </fills>
  <borders count="7">
    <border>
      <left/>
      <right/>
      <top/>
      <bottom/>
      <diagonal/>
    </border>
    <border>
      <left style="thin">
        <color auto="1"/>
      </left>
      <right style="thin">
        <color auto="1"/>
      </right>
      <top style="thin">
        <color auto="1"/>
      </top>
      <bottom style="thin">
        <color auto="1"/>
      </bottom>
      <diagonal/>
    </border>
    <border>
      <left/>
      <right style="thin">
        <color indexed="64"/>
      </right>
      <top style="thin">
        <color indexed="64"/>
      </top>
      <bottom style="thin">
        <color indexed="64"/>
      </bottom>
      <diagonal/>
    </border>
    <border>
      <left style="thin">
        <color auto="1"/>
      </left>
      <right/>
      <top style="thin">
        <color auto="1"/>
      </top>
      <bottom style="thin">
        <color auto="1"/>
      </bottom>
      <diagonal/>
    </border>
    <border>
      <left style="thin">
        <color auto="1"/>
      </left>
      <right/>
      <top style="thin">
        <color auto="1"/>
      </top>
      <bottom/>
      <diagonal/>
    </border>
    <border>
      <left/>
      <right style="thin">
        <color indexed="64"/>
      </right>
      <top style="thin">
        <color indexed="64"/>
      </top>
      <bottom/>
      <diagonal/>
    </border>
    <border>
      <left/>
      <right style="thin">
        <color indexed="64"/>
      </right>
      <top/>
      <bottom/>
      <diagonal/>
    </border>
  </borders>
  <cellStyleXfs count="2">
    <xf numFmtId="0" fontId="0" fillId="0" borderId="0"/>
    <xf numFmtId="43" fontId="4" fillId="0" borderId="0" applyFont="0" applyFill="0" applyBorder="0" applyAlignment="0" applyProtection="0"/>
  </cellStyleXfs>
  <cellXfs count="102">
    <xf numFmtId="0" fontId="0" fillId="0" borderId="0" xfId="0"/>
    <xf numFmtId="0" fontId="2" fillId="0" borderId="0" xfId="0" applyFont="1"/>
    <xf numFmtId="0" fontId="2" fillId="0" borderId="0" xfId="0" applyFont="1" applyAlignment="1">
      <alignment wrapText="1"/>
    </xf>
    <xf numFmtId="0" fontId="2" fillId="0" borderId="0" xfId="0" quotePrefix="1" applyFont="1"/>
    <xf numFmtId="0" fontId="5" fillId="0" borderId="0" xfId="0" applyFont="1"/>
    <xf numFmtId="0" fontId="2" fillId="3" borderId="0" xfId="0" applyFont="1" applyFill="1" applyBorder="1"/>
    <xf numFmtId="0" fontId="1" fillId="3" borderId="1" xfId="0" applyFont="1" applyFill="1" applyBorder="1" applyAlignment="1">
      <alignment horizontal="right" vertical="top"/>
    </xf>
    <xf numFmtId="0" fontId="3" fillId="3" borderId="1" xfId="0" applyFont="1" applyFill="1" applyBorder="1" applyAlignment="1">
      <alignment horizontal="right" vertical="top"/>
    </xf>
    <xf numFmtId="0" fontId="2" fillId="3" borderId="1" xfId="0" applyFont="1" applyFill="1" applyBorder="1" applyAlignment="1">
      <alignment horizontal="right"/>
    </xf>
    <xf numFmtId="1" fontId="2" fillId="3" borderId="1" xfId="0" applyNumberFormat="1" applyFont="1" applyFill="1" applyBorder="1" applyAlignment="1">
      <alignment horizontal="right"/>
    </xf>
    <xf numFmtId="1" fontId="2" fillId="3" borderId="1" xfId="0" applyNumberFormat="1" applyFont="1" applyFill="1" applyBorder="1"/>
    <xf numFmtId="2" fontId="2" fillId="3" borderId="1" xfId="0" applyNumberFormat="1" applyFont="1" applyFill="1" applyBorder="1"/>
    <xf numFmtId="2" fontId="2" fillId="3" borderId="1" xfId="0" applyNumberFormat="1" applyFont="1" applyFill="1" applyBorder="1" applyAlignment="1">
      <alignment horizontal="right"/>
    </xf>
    <xf numFmtId="0" fontId="2" fillId="3" borderId="1" xfId="0" applyFont="1" applyFill="1" applyBorder="1"/>
    <xf numFmtId="164" fontId="2" fillId="3" borderId="1" xfId="1" applyNumberFormat="1" applyFont="1" applyFill="1" applyBorder="1"/>
    <xf numFmtId="0" fontId="1" fillId="3" borderId="2" xfId="0" applyFont="1" applyFill="1" applyBorder="1" applyAlignment="1">
      <alignment horizontal="right" vertical="top"/>
    </xf>
    <xf numFmtId="0" fontId="2" fillId="3" borderId="6" xfId="0" applyFont="1" applyFill="1" applyBorder="1"/>
    <xf numFmtId="2" fontId="2" fillId="3" borderId="2" xfId="0" applyNumberFormat="1" applyFont="1" applyFill="1" applyBorder="1"/>
    <xf numFmtId="0" fontId="2" fillId="3" borderId="3" xfId="0" applyFont="1" applyFill="1" applyBorder="1"/>
    <xf numFmtId="0" fontId="2" fillId="3" borderId="2" xfId="0" applyFont="1" applyFill="1" applyBorder="1"/>
    <xf numFmtId="164" fontId="2" fillId="3" borderId="2" xfId="1" applyNumberFormat="1" applyFont="1" applyFill="1" applyBorder="1"/>
    <xf numFmtId="0" fontId="3" fillId="3" borderId="2" xfId="0" applyFont="1" applyFill="1" applyBorder="1" applyAlignment="1">
      <alignment horizontal="center" vertical="top"/>
    </xf>
    <xf numFmtId="0" fontId="2" fillId="3" borderId="2" xfId="0" applyFont="1" applyFill="1" applyBorder="1" applyAlignment="1">
      <alignment horizontal="center"/>
    </xf>
    <xf numFmtId="1" fontId="2" fillId="3" borderId="6" xfId="0" applyNumberFormat="1" applyFont="1" applyFill="1" applyBorder="1" applyAlignment="1">
      <alignment horizontal="center"/>
    </xf>
    <xf numFmtId="1" fontId="2" fillId="3" borderId="2" xfId="0" applyNumberFormat="1" applyFont="1" applyFill="1" applyBorder="1" applyAlignment="1">
      <alignment horizontal="center"/>
    </xf>
    <xf numFmtId="2" fontId="2" fillId="3" borderId="6" xfId="0" applyNumberFormat="1" applyFont="1" applyFill="1" applyBorder="1" applyAlignment="1">
      <alignment horizontal="center"/>
    </xf>
    <xf numFmtId="2" fontId="2" fillId="3" borderId="2" xfId="0" applyNumberFormat="1" applyFont="1" applyFill="1" applyBorder="1" applyAlignment="1">
      <alignment horizontal="center"/>
    </xf>
    <xf numFmtId="0" fontId="2" fillId="3" borderId="6" xfId="0" applyFont="1" applyFill="1" applyBorder="1" applyAlignment="1">
      <alignment horizontal="center"/>
    </xf>
    <xf numFmtId="164" fontId="2" fillId="3" borderId="2" xfId="1" applyNumberFormat="1" applyFont="1" applyFill="1" applyBorder="1" applyAlignment="1">
      <alignment horizontal="center"/>
    </xf>
    <xf numFmtId="164" fontId="2" fillId="3" borderId="6" xfId="1" applyNumberFormat="1" applyFont="1" applyFill="1" applyBorder="1" applyAlignment="1">
      <alignment horizontal="center"/>
    </xf>
    <xf numFmtId="164" fontId="2" fillId="3" borderId="1" xfId="1" applyNumberFormat="1" applyFont="1" applyFill="1" applyBorder="1" applyAlignment="1">
      <alignment horizontal="center"/>
    </xf>
    <xf numFmtId="0" fontId="2" fillId="2" borderId="1" xfId="0" applyFont="1" applyFill="1" applyBorder="1" applyAlignment="1">
      <alignment horizontal="right"/>
    </xf>
    <xf numFmtId="0" fontId="1" fillId="3" borderId="2" xfId="0" applyFont="1" applyFill="1" applyBorder="1" applyAlignment="1">
      <alignment horizontal="center" vertical="top"/>
    </xf>
    <xf numFmtId="0" fontId="8" fillId="3" borderId="0" xfId="0" applyFont="1" applyFill="1"/>
    <xf numFmtId="0" fontId="2" fillId="3" borderId="0" xfId="0" applyFont="1" applyFill="1"/>
    <xf numFmtId="0" fontId="1" fillId="3" borderId="3" xfId="0" applyFont="1" applyFill="1" applyBorder="1" applyAlignment="1">
      <alignment horizontal="left" vertical="top"/>
    </xf>
    <xf numFmtId="0" fontId="1" fillId="3" borderId="3" xfId="0" applyFont="1" applyFill="1" applyBorder="1" applyAlignment="1">
      <alignment horizontal="center" vertical="top"/>
    </xf>
    <xf numFmtId="0" fontId="3" fillId="3" borderId="3" xfId="0" applyFont="1" applyFill="1" applyBorder="1" applyAlignment="1">
      <alignment horizontal="left" vertical="top"/>
    </xf>
    <xf numFmtId="0" fontId="3" fillId="3" borderId="2" xfId="0" applyFont="1" applyFill="1" applyBorder="1" applyAlignment="1">
      <alignment horizontal="right" vertical="top"/>
    </xf>
    <xf numFmtId="0" fontId="2" fillId="3" borderId="3" xfId="0" applyFont="1" applyFill="1" applyBorder="1" applyAlignment="1">
      <alignment horizontal="left"/>
    </xf>
    <xf numFmtId="0" fontId="5" fillId="3" borderId="3" xfId="0" applyFont="1" applyFill="1" applyBorder="1"/>
    <xf numFmtId="43" fontId="2" fillId="3" borderId="2" xfId="1" applyNumberFormat="1" applyFont="1" applyFill="1" applyBorder="1"/>
    <xf numFmtId="164" fontId="2" fillId="3" borderId="0" xfId="1" applyNumberFormat="1" applyFont="1" applyFill="1"/>
    <xf numFmtId="0" fontId="2" fillId="3" borderId="0" xfId="0" applyFont="1" applyFill="1" applyAlignment="1">
      <alignment horizontal="right"/>
    </xf>
    <xf numFmtId="0" fontId="2" fillId="3" borderId="0" xfId="0" applyFont="1" applyFill="1" applyAlignment="1">
      <alignment horizontal="left"/>
    </xf>
    <xf numFmtId="2" fontId="3" fillId="3" borderId="1" xfId="0" applyNumberFormat="1" applyFont="1" applyFill="1" applyBorder="1"/>
    <xf numFmtId="0" fontId="12" fillId="0" borderId="0" xfId="0" applyFont="1"/>
    <xf numFmtId="0" fontId="1" fillId="4" borderId="1" xfId="0" applyFont="1" applyFill="1" applyBorder="1" applyAlignment="1">
      <alignment horizontal="center" vertical="center"/>
    </xf>
    <xf numFmtId="0" fontId="1" fillId="4"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3" borderId="0" xfId="0" applyFont="1" applyFill="1"/>
    <xf numFmtId="0" fontId="5" fillId="3" borderId="0" xfId="0" applyFont="1" applyFill="1" applyAlignment="1">
      <alignment horizontal="left"/>
    </xf>
    <xf numFmtId="0" fontId="2" fillId="5" borderId="1" xfId="0" applyFont="1" applyFill="1" applyBorder="1"/>
    <xf numFmtId="0" fontId="13" fillId="3" borderId="0" xfId="0" applyFont="1" applyFill="1"/>
    <xf numFmtId="0" fontId="2" fillId="0" borderId="0" xfId="0" applyFont="1" applyFill="1" applyBorder="1"/>
    <xf numFmtId="0" fontId="2" fillId="0" borderId="0" xfId="0" applyFont="1" applyFill="1"/>
    <xf numFmtId="0" fontId="1" fillId="4" borderId="4" xfId="0" applyFont="1" applyFill="1" applyBorder="1" applyAlignment="1">
      <alignment horizontal="center" vertical="center"/>
    </xf>
    <xf numFmtId="0" fontId="1" fillId="4" borderId="5" xfId="0" applyFont="1" applyFill="1" applyBorder="1" applyAlignment="1">
      <alignment horizontal="center" vertical="center"/>
    </xf>
    <xf numFmtId="9" fontId="2" fillId="3" borderId="3" xfId="0" applyNumberFormat="1" applyFont="1" applyFill="1" applyBorder="1" applyAlignment="1">
      <alignment horizontal="center"/>
    </xf>
    <xf numFmtId="9" fontId="2" fillId="3" borderId="2" xfId="0" applyNumberFormat="1" applyFont="1" applyFill="1" applyBorder="1" applyAlignment="1">
      <alignment horizontal="center"/>
    </xf>
    <xf numFmtId="0" fontId="1" fillId="2" borderId="3" xfId="0" applyFont="1" applyFill="1" applyBorder="1" applyAlignment="1">
      <alignment horizontal="center" vertical="top"/>
    </xf>
    <xf numFmtId="0" fontId="1" fillId="2" borderId="2" xfId="0" applyFont="1" applyFill="1" applyBorder="1" applyAlignment="1">
      <alignment horizontal="center" vertical="top"/>
    </xf>
    <xf numFmtId="0" fontId="1" fillId="4" borderId="3" xfId="0" applyFont="1" applyFill="1" applyBorder="1" applyAlignment="1">
      <alignment horizontal="center" vertical="center"/>
    </xf>
    <xf numFmtId="0" fontId="1" fillId="4" borderId="2" xfId="0" applyFont="1" applyFill="1" applyBorder="1" applyAlignment="1">
      <alignment horizontal="center" vertical="center"/>
    </xf>
    <xf numFmtId="0" fontId="8" fillId="3" borderId="0" xfId="0" applyFont="1" applyFill="1" applyAlignment="1"/>
    <xf numFmtId="0" fontId="1" fillId="5" borderId="3" xfId="0" applyFont="1" applyFill="1" applyBorder="1" applyAlignment="1">
      <alignment horizontal="center" vertical="top"/>
    </xf>
    <xf numFmtId="0" fontId="1" fillId="5" borderId="2" xfId="0" applyFont="1" applyFill="1" applyBorder="1" applyAlignment="1">
      <alignment horizontal="center" vertical="top"/>
    </xf>
    <xf numFmtId="0" fontId="3" fillId="3" borderId="1" xfId="0" applyFont="1" applyFill="1" applyBorder="1"/>
    <xf numFmtId="0" fontId="3" fillId="5" borderId="3" xfId="0" applyFont="1" applyFill="1" applyBorder="1" applyAlignment="1">
      <alignment horizontal="left" vertical="top"/>
    </xf>
    <xf numFmtId="0" fontId="3" fillId="5" borderId="1" xfId="0" applyFont="1" applyFill="1" applyBorder="1" applyAlignment="1">
      <alignment horizontal="right" vertical="top"/>
    </xf>
    <xf numFmtId="0" fontId="3" fillId="5" borderId="2" xfId="0" applyFont="1" applyFill="1" applyBorder="1" applyAlignment="1">
      <alignment horizontal="center" vertical="top"/>
    </xf>
    <xf numFmtId="0" fontId="3" fillId="5" borderId="2" xfId="0" applyFont="1" applyFill="1" applyBorder="1" applyAlignment="1">
      <alignment horizontal="right" vertical="top"/>
    </xf>
    <xf numFmtId="0" fontId="3" fillId="3" borderId="3" xfId="0" applyFont="1" applyFill="1" applyBorder="1" applyAlignment="1">
      <alignment horizontal="left"/>
    </xf>
    <xf numFmtId="0" fontId="3" fillId="5" borderId="1" xfId="0" applyFont="1" applyFill="1" applyBorder="1" applyAlignment="1">
      <alignment horizontal="right"/>
    </xf>
    <xf numFmtId="0" fontId="3" fillId="5" borderId="2" xfId="0" applyFont="1" applyFill="1" applyBorder="1" applyAlignment="1">
      <alignment horizontal="center"/>
    </xf>
    <xf numFmtId="0" fontId="3" fillId="3" borderId="2" xfId="0" applyFont="1" applyFill="1" applyBorder="1"/>
    <xf numFmtId="0" fontId="3" fillId="5" borderId="3" xfId="0" applyFont="1" applyFill="1" applyBorder="1"/>
    <xf numFmtId="0" fontId="3" fillId="5" borderId="2" xfId="0" applyFont="1" applyFill="1" applyBorder="1"/>
    <xf numFmtId="0" fontId="3" fillId="3" borderId="3" xfId="0" applyFont="1" applyFill="1" applyBorder="1"/>
    <xf numFmtId="1" fontId="3" fillId="3" borderId="1" xfId="0" applyNumberFormat="1" applyFont="1" applyFill="1" applyBorder="1" applyAlignment="1">
      <alignment horizontal="right"/>
    </xf>
    <xf numFmtId="1" fontId="3" fillId="3" borderId="6" xfId="0" applyNumberFormat="1" applyFont="1" applyFill="1" applyBorder="1" applyAlignment="1">
      <alignment horizontal="center"/>
    </xf>
    <xf numFmtId="2" fontId="3" fillId="3" borderId="2" xfId="0" applyNumberFormat="1" applyFont="1" applyFill="1" applyBorder="1"/>
    <xf numFmtId="0" fontId="1" fillId="3" borderId="3" xfId="0" applyFont="1" applyFill="1" applyBorder="1"/>
    <xf numFmtId="1" fontId="3" fillId="3" borderId="1" xfId="0" applyNumberFormat="1" applyFont="1" applyFill="1" applyBorder="1"/>
    <xf numFmtId="1" fontId="3" fillId="3" borderId="2" xfId="0" applyNumberFormat="1" applyFont="1" applyFill="1" applyBorder="1" applyAlignment="1">
      <alignment horizontal="center"/>
    </xf>
    <xf numFmtId="2" fontId="3" fillId="3" borderId="6" xfId="0" applyNumberFormat="1" applyFont="1" applyFill="1" applyBorder="1" applyAlignment="1">
      <alignment horizontal="center"/>
    </xf>
    <xf numFmtId="2" fontId="3" fillId="5" borderId="2" xfId="0" applyNumberFormat="1" applyFont="1" applyFill="1" applyBorder="1" applyAlignment="1">
      <alignment horizontal="right"/>
    </xf>
    <xf numFmtId="2" fontId="3" fillId="3" borderId="2" xfId="0" applyNumberFormat="1" applyFont="1" applyFill="1" applyBorder="1" applyAlignment="1">
      <alignment horizontal="center"/>
    </xf>
    <xf numFmtId="2" fontId="3" fillId="5" borderId="1" xfId="0" applyNumberFormat="1" applyFont="1" applyFill="1" applyBorder="1" applyAlignment="1">
      <alignment horizontal="right"/>
    </xf>
    <xf numFmtId="0" fontId="3" fillId="3" borderId="2" xfId="0" applyFont="1" applyFill="1" applyBorder="1" applyAlignment="1">
      <alignment horizontal="center"/>
    </xf>
    <xf numFmtId="0" fontId="3" fillId="5" borderId="2" xfId="0" applyFont="1" applyFill="1" applyBorder="1" applyAlignment="1">
      <alignment horizontal="right"/>
    </xf>
    <xf numFmtId="0" fontId="3" fillId="3" borderId="6" xfId="0" applyFont="1" applyFill="1" applyBorder="1" applyAlignment="1">
      <alignment horizontal="center"/>
    </xf>
    <xf numFmtId="164" fontId="3" fillId="3" borderId="1" xfId="1" applyNumberFormat="1" applyFont="1" applyFill="1" applyBorder="1"/>
    <xf numFmtId="164" fontId="3" fillId="3" borderId="2" xfId="1" applyNumberFormat="1" applyFont="1" applyFill="1" applyBorder="1" applyAlignment="1">
      <alignment horizontal="center"/>
    </xf>
    <xf numFmtId="164" fontId="3" fillId="3" borderId="2" xfId="1" applyNumberFormat="1" applyFont="1" applyFill="1" applyBorder="1"/>
    <xf numFmtId="164" fontId="3" fillId="3" borderId="1" xfId="1" applyNumberFormat="1" applyFont="1" applyFill="1" applyBorder="1" applyAlignment="1">
      <alignment horizontal="center"/>
    </xf>
    <xf numFmtId="43" fontId="3" fillId="3" borderId="2" xfId="1" applyNumberFormat="1" applyFont="1" applyFill="1" applyBorder="1"/>
    <xf numFmtId="0" fontId="3" fillId="5" borderId="1" xfId="0" applyFont="1" applyFill="1" applyBorder="1"/>
    <xf numFmtId="164" fontId="3" fillId="3" borderId="6" xfId="1" applyNumberFormat="1" applyFont="1" applyFill="1" applyBorder="1" applyAlignment="1">
      <alignment horizontal="center"/>
    </xf>
    <xf numFmtId="0" fontId="3" fillId="3" borderId="6" xfId="0" applyFont="1" applyFill="1" applyBorder="1"/>
    <xf numFmtId="9" fontId="3" fillId="5" borderId="3" xfId="0" applyNumberFormat="1" applyFont="1" applyFill="1" applyBorder="1" applyAlignment="1">
      <alignment horizontal="center"/>
    </xf>
    <xf numFmtId="9" fontId="3" fillId="5" borderId="2" xfId="0" applyNumberFormat="1" applyFont="1" applyFill="1" applyBorder="1" applyAlignment="1">
      <alignment horizontal="center"/>
    </xf>
  </cellXfs>
  <cellStyles count="2">
    <cellStyle name="Comma" xfId="1" builtinId="3"/>
    <cellStyle name="Normal" xfId="0" builtinId="0"/>
  </cellStyles>
  <dxfs count="0"/>
  <tableStyles count="0" defaultTableStyle="TableStyleMedium9" defaultPivotStyle="PivotStyleLight16"/>
  <colors>
    <mruColors>
      <color rgb="FFF0AE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0</xdr:row>
      <xdr:rowOff>0</xdr:rowOff>
    </xdr:from>
    <xdr:to>
      <xdr:col>0</xdr:col>
      <xdr:colOff>342900</xdr:colOff>
      <xdr:row>1</xdr:row>
      <xdr:rowOff>137160</xdr:rowOff>
    </xdr:to>
    <xdr:pic>
      <xdr:nvPicPr>
        <xdr:cNvPr id="3" name="Graphic 2" descr="Bullseye with solid fill">
          <a:extLst>
            <a:ext uri="{FF2B5EF4-FFF2-40B4-BE49-F238E27FC236}">
              <a16:creationId xmlns:a16="http://schemas.microsoft.com/office/drawing/2014/main" id="{2319F5F4-5BB3-430E-9736-BEE2336CBD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2860" y="0"/>
          <a:ext cx="320040" cy="3200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645956</xdr:colOff>
      <xdr:row>35</xdr:row>
      <xdr:rowOff>16934</xdr:rowOff>
    </xdr:from>
    <xdr:to>
      <xdr:col>2</xdr:col>
      <xdr:colOff>393388</xdr:colOff>
      <xdr:row>46</xdr:row>
      <xdr:rowOff>495</xdr:rowOff>
    </xdr:to>
    <xdr:pic>
      <xdr:nvPicPr>
        <xdr:cNvPr id="3" name="Picture 2">
          <a:extLst>
            <a:ext uri="{FF2B5EF4-FFF2-40B4-BE49-F238E27FC236}">
              <a16:creationId xmlns:a16="http://schemas.microsoft.com/office/drawing/2014/main" id="{9CD3770B-6CED-4B75-AE15-6202009F60CF}"/>
            </a:ext>
          </a:extLst>
        </xdr:cNvPr>
        <xdr:cNvPicPr>
          <a:picLocks noChangeAspect="1"/>
        </xdr:cNvPicPr>
      </xdr:nvPicPr>
      <xdr:blipFill>
        <a:blip xmlns:r="http://schemas.openxmlformats.org/officeDocument/2006/relationships" r:embed="rId1"/>
        <a:stretch>
          <a:fillRect/>
        </a:stretch>
      </xdr:blipFill>
      <xdr:spPr>
        <a:xfrm>
          <a:off x="645956" y="6718052"/>
          <a:ext cx="2674408" cy="200510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515620</xdr:colOff>
      <xdr:row>36</xdr:row>
      <xdr:rowOff>176107</xdr:rowOff>
    </xdr:from>
    <xdr:to>
      <xdr:col>2</xdr:col>
      <xdr:colOff>418839</xdr:colOff>
      <xdr:row>47</xdr:row>
      <xdr:rowOff>156282</xdr:rowOff>
    </xdr:to>
    <xdr:pic>
      <xdr:nvPicPr>
        <xdr:cNvPr id="2" name="Picture 1">
          <a:extLst>
            <a:ext uri="{FF2B5EF4-FFF2-40B4-BE49-F238E27FC236}">
              <a16:creationId xmlns:a16="http://schemas.microsoft.com/office/drawing/2014/main" id="{C71A8DC4-F411-4119-B211-44D3B1A9F25D}"/>
            </a:ext>
          </a:extLst>
        </xdr:cNvPr>
        <xdr:cNvPicPr>
          <a:picLocks noChangeAspect="1"/>
        </xdr:cNvPicPr>
      </xdr:nvPicPr>
      <xdr:blipFill>
        <a:blip xmlns:r="http://schemas.openxmlformats.org/officeDocument/2006/relationships" r:embed="rId1"/>
        <a:stretch>
          <a:fillRect/>
        </a:stretch>
      </xdr:blipFill>
      <xdr:spPr>
        <a:xfrm>
          <a:off x="515620" y="6973147"/>
          <a:ext cx="2676899" cy="199185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5"/>
  <sheetViews>
    <sheetView workbookViewId="0">
      <selection activeCell="A12" sqref="A12"/>
    </sheetView>
  </sheetViews>
  <sheetFormatPr defaultRowHeight="14.4" x14ac:dyDescent="0.3"/>
  <cols>
    <col min="1" max="1" width="120" style="1" customWidth="1"/>
    <col min="2" max="16384" width="8.88671875" style="1"/>
  </cols>
  <sheetData>
    <row r="1" spans="1:1" x14ac:dyDescent="0.3">
      <c r="A1" s="46" t="s">
        <v>16</v>
      </c>
    </row>
    <row r="3" spans="1:1" x14ac:dyDescent="0.3">
      <c r="A3" s="4" t="s">
        <v>1</v>
      </c>
    </row>
    <row r="4" spans="1:1" ht="28.8" x14ac:dyDescent="0.3">
      <c r="A4" s="2" t="s">
        <v>49</v>
      </c>
    </row>
    <row r="6" spans="1:1" x14ac:dyDescent="0.3">
      <c r="A6" s="4" t="s">
        <v>2</v>
      </c>
    </row>
    <row r="7" spans="1:1" x14ac:dyDescent="0.3">
      <c r="A7" s="1" t="s">
        <v>3</v>
      </c>
    </row>
    <row r="8" spans="1:1" x14ac:dyDescent="0.3">
      <c r="A8" s="3" t="s">
        <v>15</v>
      </c>
    </row>
    <row r="9" spans="1:1" x14ac:dyDescent="0.3">
      <c r="A9" s="1" t="s">
        <v>4</v>
      </c>
    </row>
    <row r="10" spans="1:1" x14ac:dyDescent="0.3">
      <c r="A10" s="1" t="s">
        <v>5</v>
      </c>
    </row>
    <row r="11" spans="1:1" x14ac:dyDescent="0.3">
      <c r="A11" s="1" t="s">
        <v>6</v>
      </c>
    </row>
    <row r="12" spans="1:1" x14ac:dyDescent="0.3">
      <c r="A12" s="1" t="s">
        <v>7</v>
      </c>
    </row>
    <row r="14" spans="1:1" x14ac:dyDescent="0.3">
      <c r="A14" s="4" t="s">
        <v>8</v>
      </c>
    </row>
    <row r="15" spans="1:1" x14ac:dyDescent="0.3">
      <c r="A15" s="3" t="s">
        <v>48</v>
      </c>
    </row>
    <row r="16" spans="1:1" x14ac:dyDescent="0.3">
      <c r="A16" s="3" t="s">
        <v>45</v>
      </c>
    </row>
    <row r="17" spans="1:1" x14ac:dyDescent="0.3">
      <c r="A17" s="3" t="s">
        <v>46</v>
      </c>
    </row>
    <row r="18" spans="1:1" x14ac:dyDescent="0.3">
      <c r="A18" s="3" t="s">
        <v>47</v>
      </c>
    </row>
    <row r="20" spans="1:1" x14ac:dyDescent="0.3">
      <c r="A20" s="1" t="s">
        <v>14</v>
      </c>
    </row>
    <row r="21" spans="1:1" x14ac:dyDescent="0.3">
      <c r="A21" s="1" t="s">
        <v>9</v>
      </c>
    </row>
    <row r="22" spans="1:1" x14ac:dyDescent="0.3">
      <c r="A22" s="1" t="s">
        <v>10</v>
      </c>
    </row>
    <row r="23" spans="1:1" x14ac:dyDescent="0.3">
      <c r="A23" s="1" t="s">
        <v>11</v>
      </c>
    </row>
    <row r="24" spans="1:1" x14ac:dyDescent="0.3">
      <c r="A24" s="1" t="s">
        <v>12</v>
      </c>
    </row>
    <row r="25" spans="1:1" x14ac:dyDescent="0.3">
      <c r="A25" s="1" t="s">
        <v>13</v>
      </c>
    </row>
  </sheetData>
  <pageMargins left="0.75" right="0.75" top="1" bottom="1" header="0.5" footer="0.5"/>
  <pageSetup paperSize="9" orientation="portrait" verticalDpi="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71"/>
  <sheetViews>
    <sheetView zoomScale="110" zoomScaleNormal="110" workbookViewId="0">
      <selection activeCell="E40" sqref="E40"/>
    </sheetView>
  </sheetViews>
  <sheetFormatPr defaultRowHeight="14.4" x14ac:dyDescent="0.3"/>
  <cols>
    <col min="1" max="1" width="36" style="1" customWidth="1"/>
    <col min="2" max="2" width="6.6640625" style="1" customWidth="1"/>
    <col min="3" max="3" width="9.109375" style="1" customWidth="1"/>
    <col min="4" max="4" width="18.44140625" style="1" customWidth="1"/>
    <col min="5" max="5" width="25.6640625" style="1" customWidth="1"/>
    <col min="6" max="16384" width="8.88671875" style="1"/>
  </cols>
  <sheetData>
    <row r="1" spans="1:5" s="34" customFormat="1" ht="21" x14ac:dyDescent="0.4">
      <c r="A1" s="33" t="s">
        <v>38</v>
      </c>
    </row>
    <row r="2" spans="1:5" s="34" customFormat="1" x14ac:dyDescent="0.3"/>
    <row r="3" spans="1:5" s="34" customFormat="1" ht="28.8" x14ac:dyDescent="0.3">
      <c r="A3" s="47" t="s">
        <v>40</v>
      </c>
      <c r="B3" s="56" t="s">
        <v>39</v>
      </c>
      <c r="C3" s="57"/>
      <c r="D3" s="48" t="s">
        <v>57</v>
      </c>
      <c r="E3" s="49" t="s">
        <v>54</v>
      </c>
    </row>
    <row r="4" spans="1:5" s="34" customFormat="1" x14ac:dyDescent="0.3">
      <c r="A4" s="35" t="s">
        <v>42</v>
      </c>
      <c r="B4" s="60">
        <v>14</v>
      </c>
      <c r="C4" s="61"/>
      <c r="D4" s="15"/>
      <c r="E4" s="13"/>
    </row>
    <row r="5" spans="1:5" s="34" customFormat="1" x14ac:dyDescent="0.3">
      <c r="A5" s="35"/>
      <c r="B5" s="36"/>
      <c r="C5" s="32"/>
      <c r="D5" s="15"/>
      <c r="E5" s="13"/>
    </row>
    <row r="6" spans="1:5" s="34" customFormat="1" x14ac:dyDescent="0.3">
      <c r="A6" s="35" t="s">
        <v>18</v>
      </c>
      <c r="B6" s="6"/>
      <c r="C6" s="15"/>
      <c r="D6" s="15"/>
      <c r="E6" s="13"/>
    </row>
    <row r="7" spans="1:5" s="34" customFormat="1" x14ac:dyDescent="0.3">
      <c r="A7" s="35"/>
      <c r="B7" s="6"/>
      <c r="C7" s="15"/>
      <c r="D7" s="15"/>
      <c r="E7" s="13"/>
    </row>
    <row r="8" spans="1:5" s="34" customFormat="1" x14ac:dyDescent="0.3">
      <c r="A8" s="37" t="s">
        <v>50</v>
      </c>
      <c r="B8" s="7">
        <v>1</v>
      </c>
      <c r="C8" s="21" t="s">
        <v>32</v>
      </c>
      <c r="D8" s="38">
        <v>50</v>
      </c>
      <c r="E8" s="11">
        <f>B8*D8/B4</f>
        <v>3.5714285714285716</v>
      </c>
    </row>
    <row r="9" spans="1:5" s="34" customFormat="1" x14ac:dyDescent="0.3">
      <c r="A9" s="39" t="s">
        <v>17</v>
      </c>
      <c r="B9" s="31">
        <v>14</v>
      </c>
      <c r="C9" s="22" t="s">
        <v>31</v>
      </c>
      <c r="D9" s="19"/>
      <c r="E9" s="13"/>
    </row>
    <row r="10" spans="1:5" s="34" customFormat="1" x14ac:dyDescent="0.3">
      <c r="A10" s="18" t="s">
        <v>20</v>
      </c>
      <c r="B10" s="8">
        <v>1</v>
      </c>
      <c r="C10" s="22" t="s">
        <v>33</v>
      </c>
      <c r="D10" s="19">
        <v>18</v>
      </c>
      <c r="E10" s="11">
        <f>B10*D10/B4</f>
        <v>1.2857142857142858</v>
      </c>
    </row>
    <row r="11" spans="1:5" s="34" customFormat="1" x14ac:dyDescent="0.3">
      <c r="A11" s="18"/>
      <c r="B11" s="9"/>
      <c r="C11" s="23"/>
      <c r="D11" s="17"/>
      <c r="E11" s="11"/>
    </row>
    <row r="12" spans="1:5" s="34" customFormat="1" x14ac:dyDescent="0.3">
      <c r="A12" s="40" t="s">
        <v>21</v>
      </c>
      <c r="B12" s="10"/>
      <c r="C12" s="24"/>
      <c r="D12" s="17"/>
      <c r="E12" s="11"/>
    </row>
    <row r="13" spans="1:5" s="34" customFormat="1" x14ac:dyDescent="0.3">
      <c r="A13" s="18" t="s">
        <v>30</v>
      </c>
      <c r="B13" s="11"/>
      <c r="C13" s="25"/>
      <c r="D13" s="17">
        <v>0.15</v>
      </c>
      <c r="E13" s="11">
        <f>+D13</f>
        <v>0.15</v>
      </c>
    </row>
    <row r="14" spans="1:5" s="34" customFormat="1" x14ac:dyDescent="0.3">
      <c r="A14" s="18" t="s">
        <v>19</v>
      </c>
      <c r="B14" s="11"/>
      <c r="C14" s="26"/>
      <c r="D14" s="17">
        <v>0.1</v>
      </c>
      <c r="E14" s="11">
        <f>+D14</f>
        <v>0.1</v>
      </c>
    </row>
    <row r="15" spans="1:5" s="34" customFormat="1" x14ac:dyDescent="0.3">
      <c r="A15" s="18"/>
      <c r="B15" s="11"/>
      <c r="C15" s="25"/>
      <c r="D15" s="17"/>
      <c r="E15" s="11"/>
    </row>
    <row r="16" spans="1:5" s="34" customFormat="1" x14ac:dyDescent="0.3">
      <c r="A16" s="40" t="s">
        <v>22</v>
      </c>
      <c r="B16" s="11"/>
      <c r="C16" s="26"/>
      <c r="D16" s="17"/>
      <c r="E16" s="11"/>
    </row>
    <row r="17" spans="1:5" s="34" customFormat="1" x14ac:dyDescent="0.3">
      <c r="A17" s="18" t="s">
        <v>52</v>
      </c>
      <c r="B17" s="12">
        <v>0.5</v>
      </c>
      <c r="C17" s="25" t="s">
        <v>35</v>
      </c>
      <c r="D17" s="17"/>
      <c r="E17" s="11"/>
    </row>
    <row r="18" spans="1:5" s="34" customFormat="1" x14ac:dyDescent="0.3">
      <c r="A18" s="18" t="s">
        <v>0</v>
      </c>
      <c r="B18" s="13"/>
      <c r="C18" s="22"/>
      <c r="D18" s="19">
        <v>6</v>
      </c>
      <c r="E18" s="11">
        <f>B17*D18/B4</f>
        <v>0.21428571428571427</v>
      </c>
    </row>
    <row r="19" spans="1:5" s="34" customFormat="1" x14ac:dyDescent="0.3">
      <c r="A19" s="18"/>
      <c r="B19" s="13"/>
      <c r="C19" s="27"/>
      <c r="D19" s="19"/>
      <c r="E19" s="13"/>
    </row>
    <row r="20" spans="1:5" s="34" customFormat="1" x14ac:dyDescent="0.3">
      <c r="A20" s="40" t="s">
        <v>55</v>
      </c>
      <c r="B20" s="14"/>
      <c r="C20" s="28"/>
      <c r="D20" s="20"/>
      <c r="E20" s="13"/>
    </row>
    <row r="21" spans="1:5" s="34" customFormat="1" x14ac:dyDescent="0.3">
      <c r="A21" s="18" t="s">
        <v>34</v>
      </c>
      <c r="B21" s="14">
        <v>50</v>
      </c>
      <c r="C21" s="30" t="s">
        <v>33</v>
      </c>
      <c r="D21" s="41">
        <v>125</v>
      </c>
      <c r="E21" s="13"/>
    </row>
    <row r="22" spans="1:5" s="34" customFormat="1" x14ac:dyDescent="0.3">
      <c r="A22" s="18" t="s">
        <v>41</v>
      </c>
      <c r="B22" s="14">
        <v>2</v>
      </c>
      <c r="C22" s="29" t="s">
        <v>32</v>
      </c>
      <c r="D22" s="41">
        <v>20</v>
      </c>
      <c r="E22" s="13"/>
    </row>
    <row r="23" spans="1:5" s="34" customFormat="1" x14ac:dyDescent="0.3">
      <c r="A23" s="18" t="s">
        <v>36</v>
      </c>
      <c r="B23" s="14"/>
      <c r="C23" s="28"/>
      <c r="D23" s="41">
        <v>40</v>
      </c>
      <c r="E23" s="13"/>
    </row>
    <row r="24" spans="1:5" s="34" customFormat="1" x14ac:dyDescent="0.3">
      <c r="A24" s="18" t="s">
        <v>23</v>
      </c>
      <c r="B24" s="14"/>
      <c r="C24" s="29"/>
      <c r="D24" s="41">
        <v>175</v>
      </c>
      <c r="E24" s="13"/>
    </row>
    <row r="25" spans="1:5" s="34" customFormat="1" x14ac:dyDescent="0.3">
      <c r="A25" s="18" t="s">
        <v>37</v>
      </c>
      <c r="B25" s="14"/>
      <c r="C25" s="28"/>
      <c r="D25" s="41">
        <v>100</v>
      </c>
      <c r="E25" s="13"/>
    </row>
    <row r="26" spans="1:5" s="34" customFormat="1" x14ac:dyDescent="0.3">
      <c r="A26" s="18" t="s">
        <v>24</v>
      </c>
      <c r="B26" s="14"/>
      <c r="C26" s="29"/>
      <c r="D26" s="41">
        <v>100</v>
      </c>
      <c r="E26" s="13"/>
    </row>
    <row r="27" spans="1:5" s="34" customFormat="1" x14ac:dyDescent="0.3">
      <c r="A27" s="18" t="s">
        <v>25</v>
      </c>
      <c r="B27" s="14"/>
      <c r="C27" s="28"/>
      <c r="D27" s="41">
        <v>25</v>
      </c>
      <c r="E27" s="13"/>
    </row>
    <row r="28" spans="1:5" s="34" customFormat="1" x14ac:dyDescent="0.3">
      <c r="A28" s="18" t="s">
        <v>26</v>
      </c>
      <c r="B28" s="14"/>
      <c r="C28" s="29"/>
      <c r="D28" s="41">
        <v>80</v>
      </c>
      <c r="E28" s="13"/>
    </row>
    <row r="29" spans="1:5" s="34" customFormat="1" x14ac:dyDescent="0.3">
      <c r="A29" s="18" t="s">
        <v>27</v>
      </c>
      <c r="B29" s="14"/>
      <c r="C29" s="28"/>
      <c r="D29" s="41">
        <v>20</v>
      </c>
      <c r="E29" s="13"/>
    </row>
    <row r="30" spans="1:5" s="34" customFormat="1" x14ac:dyDescent="0.3">
      <c r="A30" s="18" t="s">
        <v>28</v>
      </c>
      <c r="B30" s="14"/>
      <c r="C30" s="29"/>
      <c r="D30" s="41">
        <v>1000</v>
      </c>
      <c r="E30" s="13"/>
    </row>
    <row r="31" spans="1:5" s="34" customFormat="1" x14ac:dyDescent="0.3">
      <c r="A31" s="18"/>
      <c r="B31" s="14"/>
      <c r="C31" s="28"/>
      <c r="D31" s="20"/>
      <c r="E31" s="13"/>
    </row>
    <row r="32" spans="1:5" s="34" customFormat="1" x14ac:dyDescent="0.3">
      <c r="A32" s="40" t="s">
        <v>29</v>
      </c>
      <c r="B32" s="13"/>
      <c r="C32" s="16"/>
      <c r="D32" s="19"/>
      <c r="E32" s="13"/>
    </row>
    <row r="33" spans="1:7" s="34" customFormat="1" x14ac:dyDescent="0.3">
      <c r="A33" s="18" t="s">
        <v>51</v>
      </c>
      <c r="B33" s="58">
        <v>0.2</v>
      </c>
      <c r="C33" s="59"/>
      <c r="D33" s="19"/>
      <c r="E33" s="13"/>
    </row>
    <row r="34" spans="1:7" s="34" customFormat="1" x14ac:dyDescent="0.3"/>
    <row r="35" spans="1:7" s="34" customFormat="1" x14ac:dyDescent="0.3">
      <c r="A35" s="44"/>
    </row>
    <row r="36" spans="1:7" s="34" customFormat="1" x14ac:dyDescent="0.3">
      <c r="A36" s="51" t="s">
        <v>44</v>
      </c>
    </row>
    <row r="37" spans="1:7" s="34" customFormat="1" x14ac:dyDescent="0.3"/>
    <row r="38" spans="1:7" s="34" customFormat="1" x14ac:dyDescent="0.3">
      <c r="B38" s="42"/>
      <c r="C38" s="42"/>
      <c r="D38" s="42"/>
      <c r="G38" s="43"/>
    </row>
    <row r="39" spans="1:7" s="34" customFormat="1" x14ac:dyDescent="0.3">
      <c r="B39" s="42"/>
      <c r="C39" s="42"/>
      <c r="D39" s="42"/>
    </row>
    <row r="40" spans="1:7" s="34" customFormat="1" x14ac:dyDescent="0.3">
      <c r="B40" s="42"/>
      <c r="C40" s="42"/>
      <c r="D40" s="42"/>
    </row>
    <row r="41" spans="1:7" s="34" customFormat="1" x14ac:dyDescent="0.3"/>
    <row r="42" spans="1:7" s="34" customFormat="1" x14ac:dyDescent="0.3"/>
    <row r="43" spans="1:7" s="34" customFormat="1" x14ac:dyDescent="0.3"/>
    <row r="44" spans="1:7" s="34" customFormat="1" x14ac:dyDescent="0.3"/>
    <row r="45" spans="1:7" s="34" customFormat="1" x14ac:dyDescent="0.3"/>
    <row r="46" spans="1:7" s="34" customFormat="1" x14ac:dyDescent="0.3"/>
    <row r="47" spans="1:7" s="34" customFormat="1" x14ac:dyDescent="0.3"/>
    <row r="48" spans="1:7" s="34" customFormat="1" x14ac:dyDescent="0.3"/>
    <row r="49" s="34" customFormat="1" x14ac:dyDescent="0.3"/>
    <row r="50" s="34" customFormat="1" x14ac:dyDescent="0.3"/>
    <row r="51" s="34" customFormat="1" x14ac:dyDescent="0.3"/>
    <row r="52" s="34" customFormat="1" x14ac:dyDescent="0.3"/>
    <row r="53" s="34" customFormat="1" x14ac:dyDescent="0.3"/>
    <row r="54" s="34" customFormat="1" x14ac:dyDescent="0.3"/>
    <row r="55" s="34" customFormat="1" x14ac:dyDescent="0.3"/>
    <row r="56" s="34" customFormat="1" x14ac:dyDescent="0.3"/>
    <row r="57" s="34" customFormat="1" x14ac:dyDescent="0.3"/>
    <row r="58" s="34" customFormat="1" x14ac:dyDescent="0.3"/>
    <row r="59" s="34" customFormat="1" x14ac:dyDescent="0.3"/>
    <row r="60" s="34" customFormat="1" x14ac:dyDescent="0.3"/>
    <row r="61" s="34" customFormat="1" x14ac:dyDescent="0.3"/>
    <row r="62" s="34" customFormat="1" x14ac:dyDescent="0.3"/>
    <row r="63" s="34" customFormat="1" x14ac:dyDescent="0.3"/>
    <row r="64" s="34" customFormat="1" x14ac:dyDescent="0.3"/>
    <row r="65" s="34" customFormat="1" x14ac:dyDescent="0.3"/>
    <row r="66" s="34" customFormat="1" x14ac:dyDescent="0.3"/>
    <row r="67" s="34" customFormat="1" x14ac:dyDescent="0.3"/>
    <row r="68" s="34" customFormat="1" x14ac:dyDescent="0.3"/>
    <row r="69" s="34" customFormat="1" x14ac:dyDescent="0.3"/>
    <row r="70" s="34" customFormat="1" x14ac:dyDescent="0.3"/>
    <row r="71" s="34" customFormat="1" x14ac:dyDescent="0.3"/>
  </sheetData>
  <mergeCells count="3">
    <mergeCell ref="B3:C3"/>
    <mergeCell ref="B33:C33"/>
    <mergeCell ref="B4:C4"/>
  </mergeCells>
  <pageMargins left="0.74803149606299213" right="0.74803149606299213" top="0.98425196850393704" bottom="0.98425196850393704" header="0.51181102362204722" footer="0.51181102362204722"/>
  <pageSetup paperSize="9" scale="90" orientation="portrait" verticalDpi="0"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35022-2F22-41FC-8136-AE050638EBD2}">
  <sheetPr>
    <tabColor rgb="FFFFFF00"/>
  </sheetPr>
  <dimension ref="A1:G175"/>
  <sheetViews>
    <sheetView tabSelected="1" topLeftCell="A10" zoomScale="120" zoomScaleNormal="120" workbookViewId="0">
      <selection activeCell="A24" sqref="A24:E24"/>
    </sheetView>
  </sheetViews>
  <sheetFormatPr defaultRowHeight="14.4" x14ac:dyDescent="0.3"/>
  <cols>
    <col min="1" max="1" width="33.77734375" style="1" customWidth="1"/>
    <col min="2" max="2" width="6.6640625" style="1" customWidth="1"/>
    <col min="3" max="3" width="10.33203125" style="1" customWidth="1"/>
    <col min="4" max="4" width="18.44140625" style="1" customWidth="1"/>
    <col min="5" max="5" width="26.77734375" style="1" customWidth="1"/>
    <col min="6" max="16384" width="8.88671875" style="1"/>
  </cols>
  <sheetData>
    <row r="1" spans="1:5" s="34" customFormat="1" ht="21" x14ac:dyDescent="0.4">
      <c r="A1" s="64" t="s">
        <v>43</v>
      </c>
      <c r="B1" s="64"/>
      <c r="C1" s="64"/>
      <c r="D1" s="64"/>
      <c r="E1" s="64"/>
    </row>
    <row r="2" spans="1:5" s="34" customFormat="1" ht="10.199999999999999" customHeight="1" x14ac:dyDescent="0.4">
      <c r="A2" s="33"/>
    </row>
    <row r="3" spans="1:5" s="34" customFormat="1" ht="15.6" x14ac:dyDescent="0.3">
      <c r="A3" s="53" t="s">
        <v>56</v>
      </c>
      <c r="B3" s="54"/>
      <c r="C3" s="5"/>
      <c r="D3" s="52"/>
    </row>
    <row r="4" spans="1:5" s="34" customFormat="1" x14ac:dyDescent="0.3">
      <c r="A4" s="55"/>
    </row>
    <row r="5" spans="1:5" s="34" customFormat="1" ht="28.8" x14ac:dyDescent="0.3">
      <c r="A5" s="47" t="s">
        <v>40</v>
      </c>
      <c r="B5" s="62" t="s">
        <v>39</v>
      </c>
      <c r="C5" s="63"/>
      <c r="D5" s="48" t="s">
        <v>57</v>
      </c>
      <c r="E5" s="49" t="s">
        <v>54</v>
      </c>
    </row>
    <row r="6" spans="1:5" s="34" customFormat="1" x14ac:dyDescent="0.3">
      <c r="A6" s="35" t="s">
        <v>42</v>
      </c>
      <c r="B6" s="65">
        <v>10</v>
      </c>
      <c r="C6" s="66"/>
      <c r="D6" s="15"/>
      <c r="E6" s="67"/>
    </row>
    <row r="7" spans="1:5" s="34" customFormat="1" x14ac:dyDescent="0.3">
      <c r="A7" s="35"/>
      <c r="B7" s="36"/>
      <c r="C7" s="32"/>
      <c r="D7" s="15"/>
      <c r="E7" s="67"/>
    </row>
    <row r="8" spans="1:5" s="34" customFormat="1" x14ac:dyDescent="0.3">
      <c r="A8" s="35" t="s">
        <v>18</v>
      </c>
      <c r="B8" s="6"/>
      <c r="C8" s="15"/>
      <c r="D8" s="15"/>
      <c r="E8" s="67"/>
    </row>
    <row r="9" spans="1:5" s="34" customFormat="1" x14ac:dyDescent="0.3">
      <c r="A9" s="35"/>
      <c r="B9" s="6"/>
      <c r="C9" s="15"/>
      <c r="D9" s="15"/>
      <c r="E9" s="67"/>
    </row>
    <row r="10" spans="1:5" s="34" customFormat="1" x14ac:dyDescent="0.3">
      <c r="A10" s="68"/>
      <c r="B10" s="69"/>
      <c r="C10" s="70"/>
      <c r="D10" s="71"/>
      <c r="E10" s="45">
        <f>D10/B6</f>
        <v>0</v>
      </c>
    </row>
    <row r="11" spans="1:5" s="34" customFormat="1" x14ac:dyDescent="0.3">
      <c r="A11" s="72" t="s">
        <v>17</v>
      </c>
      <c r="B11" s="73"/>
      <c r="C11" s="74"/>
      <c r="D11" s="75"/>
      <c r="E11" s="67"/>
    </row>
    <row r="12" spans="1:5" s="34" customFormat="1" x14ac:dyDescent="0.3">
      <c r="A12" s="76"/>
      <c r="B12" s="73"/>
      <c r="C12" s="74"/>
      <c r="D12" s="77"/>
      <c r="E12" s="45">
        <f>D12/B6</f>
        <v>0</v>
      </c>
    </row>
    <row r="13" spans="1:5" s="34" customFormat="1" x14ac:dyDescent="0.3">
      <c r="A13" s="78"/>
      <c r="B13" s="79"/>
      <c r="C13" s="80"/>
      <c r="D13" s="81"/>
      <c r="E13" s="45"/>
    </row>
    <row r="14" spans="1:5" s="34" customFormat="1" x14ac:dyDescent="0.3">
      <c r="A14" s="82" t="s">
        <v>21</v>
      </c>
      <c r="B14" s="83"/>
      <c r="C14" s="84"/>
      <c r="D14" s="81"/>
      <c r="E14" s="45"/>
    </row>
    <row r="15" spans="1:5" s="34" customFormat="1" x14ac:dyDescent="0.3">
      <c r="A15" s="76"/>
      <c r="B15" s="45"/>
      <c r="C15" s="85"/>
      <c r="D15" s="86"/>
      <c r="E15" s="45">
        <f>+D15</f>
        <v>0</v>
      </c>
    </row>
    <row r="16" spans="1:5" s="34" customFormat="1" x14ac:dyDescent="0.3">
      <c r="A16" s="76"/>
      <c r="B16" s="45"/>
      <c r="C16" s="87"/>
      <c r="D16" s="86"/>
      <c r="E16" s="45">
        <f>+D16</f>
        <v>0</v>
      </c>
    </row>
    <row r="17" spans="1:5" s="34" customFormat="1" x14ac:dyDescent="0.3">
      <c r="A17" s="78"/>
      <c r="B17" s="45"/>
      <c r="C17" s="85"/>
      <c r="D17" s="81"/>
      <c r="E17" s="45"/>
    </row>
    <row r="18" spans="1:5" s="34" customFormat="1" x14ac:dyDescent="0.3">
      <c r="A18" s="82" t="s">
        <v>22</v>
      </c>
      <c r="B18" s="45"/>
      <c r="C18" s="87"/>
      <c r="D18" s="81"/>
      <c r="E18" s="45"/>
    </row>
    <row r="19" spans="1:5" s="34" customFormat="1" x14ac:dyDescent="0.3">
      <c r="A19" s="78" t="s">
        <v>58</v>
      </c>
      <c r="B19" s="88"/>
      <c r="C19" s="85" t="s">
        <v>35</v>
      </c>
      <c r="D19" s="81"/>
      <c r="E19" s="45"/>
    </row>
    <row r="20" spans="1:5" s="34" customFormat="1" x14ac:dyDescent="0.3">
      <c r="A20" s="78" t="s">
        <v>0</v>
      </c>
      <c r="B20" s="67"/>
      <c r="C20" s="89"/>
      <c r="D20" s="90"/>
      <c r="E20" s="45">
        <f>B19*D20/B6</f>
        <v>0</v>
      </c>
    </row>
    <row r="21" spans="1:5" s="34" customFormat="1" x14ac:dyDescent="0.3">
      <c r="A21" s="78"/>
      <c r="B21" s="67"/>
      <c r="C21" s="91"/>
      <c r="D21" s="75"/>
      <c r="E21" s="67"/>
    </row>
    <row r="22" spans="1:5" s="34" customFormat="1" x14ac:dyDescent="0.3">
      <c r="A22" s="82" t="s">
        <v>55</v>
      </c>
      <c r="B22" s="92"/>
      <c r="C22" s="93"/>
      <c r="D22" s="94"/>
      <c r="E22" s="67"/>
    </row>
    <row r="23" spans="1:5" s="34" customFormat="1" x14ac:dyDescent="0.3">
      <c r="A23" s="76"/>
      <c r="B23" s="92"/>
      <c r="C23" s="95"/>
      <c r="D23" s="96"/>
      <c r="E23" s="97"/>
    </row>
    <row r="24" spans="1:5" s="34" customFormat="1" x14ac:dyDescent="0.3">
      <c r="A24" s="76"/>
      <c r="B24" s="92"/>
      <c r="C24" s="98"/>
      <c r="D24" s="96"/>
      <c r="E24" s="97"/>
    </row>
    <row r="25" spans="1:5" s="34" customFormat="1" x14ac:dyDescent="0.3">
      <c r="A25" s="76"/>
      <c r="B25" s="92"/>
      <c r="C25" s="93"/>
      <c r="D25" s="96"/>
      <c r="E25" s="97"/>
    </row>
    <row r="26" spans="1:5" s="34" customFormat="1" x14ac:dyDescent="0.3">
      <c r="A26" s="76"/>
      <c r="B26" s="92"/>
      <c r="C26" s="98"/>
      <c r="D26" s="96"/>
      <c r="E26" s="97"/>
    </row>
    <row r="27" spans="1:5" s="34" customFormat="1" x14ac:dyDescent="0.3">
      <c r="A27" s="76"/>
      <c r="B27" s="92"/>
      <c r="C27" s="93"/>
      <c r="D27" s="96"/>
      <c r="E27" s="97"/>
    </row>
    <row r="28" spans="1:5" s="34" customFormat="1" x14ac:dyDescent="0.3">
      <c r="A28" s="76"/>
      <c r="B28" s="92"/>
      <c r="C28" s="98"/>
      <c r="D28" s="96"/>
      <c r="E28" s="97"/>
    </row>
    <row r="29" spans="1:5" s="34" customFormat="1" x14ac:dyDescent="0.3">
      <c r="A29" s="76"/>
      <c r="B29" s="92"/>
      <c r="C29" s="93"/>
      <c r="D29" s="96"/>
      <c r="E29" s="97"/>
    </row>
    <row r="30" spans="1:5" s="34" customFormat="1" x14ac:dyDescent="0.3">
      <c r="A30" s="76"/>
      <c r="B30" s="92"/>
      <c r="C30" s="98"/>
      <c r="D30" s="96"/>
      <c r="E30" s="97"/>
    </row>
    <row r="31" spans="1:5" s="34" customFormat="1" x14ac:dyDescent="0.3">
      <c r="A31" s="76"/>
      <c r="B31" s="92"/>
      <c r="C31" s="93"/>
      <c r="D31" s="96"/>
      <c r="E31" s="97"/>
    </row>
    <row r="32" spans="1:5" s="34" customFormat="1" x14ac:dyDescent="0.3">
      <c r="A32" s="76"/>
      <c r="B32" s="92"/>
      <c r="C32" s="98"/>
      <c r="D32" s="96"/>
      <c r="E32" s="97"/>
    </row>
    <row r="33" spans="1:7" s="34" customFormat="1" x14ac:dyDescent="0.3">
      <c r="A33" s="78"/>
      <c r="B33" s="92"/>
      <c r="C33" s="93"/>
      <c r="D33" s="94"/>
      <c r="E33" s="67"/>
    </row>
    <row r="34" spans="1:7" s="34" customFormat="1" x14ac:dyDescent="0.3">
      <c r="A34" s="82" t="s">
        <v>29</v>
      </c>
      <c r="B34" s="67"/>
      <c r="C34" s="99"/>
      <c r="D34" s="75"/>
      <c r="E34" s="67"/>
    </row>
    <row r="35" spans="1:7" s="34" customFormat="1" x14ac:dyDescent="0.3">
      <c r="A35" s="78" t="s">
        <v>51</v>
      </c>
      <c r="B35" s="100"/>
      <c r="C35" s="101"/>
      <c r="D35" s="75"/>
      <c r="E35" s="67"/>
    </row>
    <row r="36" spans="1:7" s="34" customFormat="1" x14ac:dyDescent="0.3"/>
    <row r="37" spans="1:7" s="34" customFormat="1" x14ac:dyDescent="0.3"/>
    <row r="38" spans="1:7" s="34" customFormat="1" x14ac:dyDescent="0.3">
      <c r="A38" s="50" t="s">
        <v>53</v>
      </c>
    </row>
    <row r="39" spans="1:7" s="34" customFormat="1" x14ac:dyDescent="0.3"/>
    <row r="40" spans="1:7" s="34" customFormat="1" x14ac:dyDescent="0.3">
      <c r="B40" s="42"/>
      <c r="C40" s="42"/>
      <c r="D40" s="42"/>
      <c r="G40" s="43"/>
    </row>
    <row r="41" spans="1:7" s="34" customFormat="1" x14ac:dyDescent="0.3">
      <c r="B41" s="42"/>
      <c r="C41" s="42"/>
      <c r="D41" s="42"/>
    </row>
    <row r="42" spans="1:7" s="34" customFormat="1" x14ac:dyDescent="0.3">
      <c r="B42" s="42"/>
      <c r="C42" s="42"/>
      <c r="D42" s="42"/>
    </row>
    <row r="43" spans="1:7" s="34" customFormat="1" x14ac:dyDescent="0.3"/>
    <row r="44" spans="1:7" s="34" customFormat="1" x14ac:dyDescent="0.3"/>
    <row r="45" spans="1:7" s="34" customFormat="1" x14ac:dyDescent="0.3"/>
    <row r="46" spans="1:7" s="34" customFormat="1" x14ac:dyDescent="0.3"/>
    <row r="47" spans="1:7" s="34" customFormat="1" x14ac:dyDescent="0.3"/>
    <row r="48" spans="1:7" s="34" customFormat="1" x14ac:dyDescent="0.3"/>
    <row r="49" s="34" customFormat="1" x14ac:dyDescent="0.3"/>
    <row r="50" s="34" customFormat="1" x14ac:dyDescent="0.3"/>
    <row r="51" s="34" customFormat="1" x14ac:dyDescent="0.3"/>
    <row r="52" s="34" customFormat="1" x14ac:dyDescent="0.3"/>
    <row r="53" s="34" customFormat="1" x14ac:dyDescent="0.3"/>
    <row r="54" s="34" customFormat="1" x14ac:dyDescent="0.3"/>
    <row r="55" s="34" customFormat="1" x14ac:dyDescent="0.3"/>
    <row r="56" s="34" customFormat="1" x14ac:dyDescent="0.3"/>
    <row r="57" s="34" customFormat="1" x14ac:dyDescent="0.3"/>
    <row r="58" s="34" customFormat="1" x14ac:dyDescent="0.3"/>
    <row r="59" s="34" customFormat="1" x14ac:dyDescent="0.3"/>
    <row r="60" s="34" customFormat="1" x14ac:dyDescent="0.3"/>
    <row r="61" s="34" customFormat="1" x14ac:dyDescent="0.3"/>
    <row r="62" s="34" customFormat="1" x14ac:dyDescent="0.3"/>
    <row r="63" s="34" customFormat="1" x14ac:dyDescent="0.3"/>
    <row r="64" s="34" customFormat="1" x14ac:dyDescent="0.3"/>
    <row r="65" s="34" customFormat="1" x14ac:dyDescent="0.3"/>
    <row r="66" s="34" customFormat="1" x14ac:dyDescent="0.3"/>
    <row r="67" s="34" customFormat="1" x14ac:dyDescent="0.3"/>
    <row r="68" s="34" customFormat="1" x14ac:dyDescent="0.3"/>
    <row r="69" s="34" customFormat="1" x14ac:dyDescent="0.3"/>
    <row r="70" s="34" customFormat="1" x14ac:dyDescent="0.3"/>
    <row r="71" s="34" customFormat="1" x14ac:dyDescent="0.3"/>
    <row r="72" s="34" customFormat="1" x14ac:dyDescent="0.3"/>
    <row r="73" s="34" customFormat="1" x14ac:dyDescent="0.3"/>
    <row r="74" s="34" customFormat="1" x14ac:dyDescent="0.3"/>
    <row r="75" s="34" customFormat="1" x14ac:dyDescent="0.3"/>
    <row r="76" s="34" customFormat="1" x14ac:dyDescent="0.3"/>
    <row r="77" s="34" customFormat="1" x14ac:dyDescent="0.3"/>
    <row r="78" s="34" customFormat="1" x14ac:dyDescent="0.3"/>
    <row r="79" s="34" customFormat="1" x14ac:dyDescent="0.3"/>
    <row r="80" s="34" customFormat="1" x14ac:dyDescent="0.3"/>
    <row r="81" s="34" customFormat="1" x14ac:dyDescent="0.3"/>
    <row r="82" s="34" customFormat="1" x14ac:dyDescent="0.3"/>
    <row r="83" s="34" customFormat="1" x14ac:dyDescent="0.3"/>
    <row r="84" s="34" customFormat="1" x14ac:dyDescent="0.3"/>
    <row r="85" s="34" customFormat="1" x14ac:dyDescent="0.3"/>
    <row r="86" s="34" customFormat="1" x14ac:dyDescent="0.3"/>
    <row r="87" s="34" customFormat="1" x14ac:dyDescent="0.3"/>
    <row r="88" s="34" customFormat="1" x14ac:dyDescent="0.3"/>
    <row r="89" s="34" customFormat="1" x14ac:dyDescent="0.3"/>
    <row r="90" s="34" customFormat="1" x14ac:dyDescent="0.3"/>
    <row r="91" s="34" customFormat="1" x14ac:dyDescent="0.3"/>
    <row r="92" s="34" customFormat="1" x14ac:dyDescent="0.3"/>
    <row r="93" s="34" customFormat="1" x14ac:dyDescent="0.3"/>
    <row r="94" s="34" customFormat="1" x14ac:dyDescent="0.3"/>
    <row r="95" s="34" customFormat="1" x14ac:dyDescent="0.3"/>
    <row r="96" s="34" customFormat="1" x14ac:dyDescent="0.3"/>
    <row r="97" s="34" customFormat="1" x14ac:dyDescent="0.3"/>
    <row r="98" s="34" customFormat="1" x14ac:dyDescent="0.3"/>
    <row r="99" s="34" customFormat="1" x14ac:dyDescent="0.3"/>
    <row r="100" s="34" customFormat="1" x14ac:dyDescent="0.3"/>
    <row r="101" s="34" customFormat="1" x14ac:dyDescent="0.3"/>
    <row r="102" s="34" customFormat="1" x14ac:dyDescent="0.3"/>
    <row r="103" s="34" customFormat="1" x14ac:dyDescent="0.3"/>
    <row r="104" s="34" customFormat="1" x14ac:dyDescent="0.3"/>
    <row r="105" s="34" customFormat="1" x14ac:dyDescent="0.3"/>
    <row r="106" s="34" customFormat="1" x14ac:dyDescent="0.3"/>
    <row r="107" s="34" customFormat="1" x14ac:dyDescent="0.3"/>
    <row r="108" s="34" customFormat="1" x14ac:dyDescent="0.3"/>
    <row r="109" s="34" customFormat="1" x14ac:dyDescent="0.3"/>
    <row r="110" s="34" customFormat="1" x14ac:dyDescent="0.3"/>
    <row r="111" s="34" customFormat="1" x14ac:dyDescent="0.3"/>
    <row r="112" s="34" customFormat="1" x14ac:dyDescent="0.3"/>
    <row r="113" s="34" customFormat="1" x14ac:dyDescent="0.3"/>
    <row r="114" s="34" customFormat="1" x14ac:dyDescent="0.3"/>
    <row r="115" s="34" customFormat="1" x14ac:dyDescent="0.3"/>
    <row r="116" s="34" customFormat="1" x14ac:dyDescent="0.3"/>
    <row r="117" s="34" customFormat="1" x14ac:dyDescent="0.3"/>
    <row r="118" s="34" customFormat="1" x14ac:dyDescent="0.3"/>
    <row r="119" s="34" customFormat="1" x14ac:dyDescent="0.3"/>
    <row r="120" s="34" customFormat="1" x14ac:dyDescent="0.3"/>
    <row r="121" s="34" customFormat="1" x14ac:dyDescent="0.3"/>
    <row r="122" s="34" customFormat="1" x14ac:dyDescent="0.3"/>
    <row r="123" s="34" customFormat="1" x14ac:dyDescent="0.3"/>
    <row r="124" s="34" customFormat="1" x14ac:dyDescent="0.3"/>
    <row r="125" s="34" customFormat="1" x14ac:dyDescent="0.3"/>
    <row r="126" s="34" customFormat="1" x14ac:dyDescent="0.3"/>
    <row r="127" s="34" customFormat="1" x14ac:dyDescent="0.3"/>
    <row r="128" s="34" customFormat="1" x14ac:dyDescent="0.3"/>
    <row r="129" s="34" customFormat="1" x14ac:dyDescent="0.3"/>
    <row r="130" s="34" customFormat="1" x14ac:dyDescent="0.3"/>
    <row r="131" s="34" customFormat="1" x14ac:dyDescent="0.3"/>
    <row r="132" s="34" customFormat="1" x14ac:dyDescent="0.3"/>
    <row r="133" s="34" customFormat="1" x14ac:dyDescent="0.3"/>
    <row r="134" s="34" customFormat="1" x14ac:dyDescent="0.3"/>
    <row r="135" s="34" customFormat="1" x14ac:dyDescent="0.3"/>
    <row r="136" s="34" customFormat="1" x14ac:dyDescent="0.3"/>
    <row r="137" s="34" customFormat="1" x14ac:dyDescent="0.3"/>
    <row r="138" s="34" customFormat="1" x14ac:dyDescent="0.3"/>
    <row r="139" s="34" customFormat="1" x14ac:dyDescent="0.3"/>
    <row r="140" s="34" customFormat="1" x14ac:dyDescent="0.3"/>
    <row r="141" s="34" customFormat="1" x14ac:dyDescent="0.3"/>
    <row r="142" s="34" customFormat="1" x14ac:dyDescent="0.3"/>
    <row r="143" s="34" customFormat="1" x14ac:dyDescent="0.3"/>
    <row r="144" s="34" customFormat="1" x14ac:dyDescent="0.3"/>
    <row r="145" s="34" customFormat="1" x14ac:dyDescent="0.3"/>
    <row r="146" s="34" customFormat="1" x14ac:dyDescent="0.3"/>
    <row r="147" s="34" customFormat="1" x14ac:dyDescent="0.3"/>
    <row r="148" s="34" customFormat="1" x14ac:dyDescent="0.3"/>
    <row r="149" s="34" customFormat="1" x14ac:dyDescent="0.3"/>
    <row r="150" s="34" customFormat="1" x14ac:dyDescent="0.3"/>
    <row r="151" s="34" customFormat="1" x14ac:dyDescent="0.3"/>
    <row r="152" s="34" customFormat="1" x14ac:dyDescent="0.3"/>
    <row r="153" s="34" customFormat="1" x14ac:dyDescent="0.3"/>
    <row r="154" s="34" customFormat="1" x14ac:dyDescent="0.3"/>
    <row r="155" s="34" customFormat="1" x14ac:dyDescent="0.3"/>
    <row r="156" s="34" customFormat="1" x14ac:dyDescent="0.3"/>
    <row r="157" s="34" customFormat="1" x14ac:dyDescent="0.3"/>
    <row r="158" s="34" customFormat="1" x14ac:dyDescent="0.3"/>
    <row r="159" s="34" customFormat="1" x14ac:dyDescent="0.3"/>
    <row r="160" s="34" customFormat="1" x14ac:dyDescent="0.3"/>
    <row r="161" s="34" customFormat="1" x14ac:dyDescent="0.3"/>
    <row r="162" s="34" customFormat="1" x14ac:dyDescent="0.3"/>
    <row r="163" s="34" customFormat="1" x14ac:dyDescent="0.3"/>
    <row r="164" s="34" customFormat="1" x14ac:dyDescent="0.3"/>
    <row r="165" s="34" customFormat="1" x14ac:dyDescent="0.3"/>
    <row r="166" s="34" customFormat="1" x14ac:dyDescent="0.3"/>
    <row r="167" s="34" customFormat="1" x14ac:dyDescent="0.3"/>
    <row r="168" s="34" customFormat="1" x14ac:dyDescent="0.3"/>
    <row r="169" s="34" customFormat="1" x14ac:dyDescent="0.3"/>
    <row r="170" s="34" customFormat="1" x14ac:dyDescent="0.3"/>
    <row r="171" s="34" customFormat="1" x14ac:dyDescent="0.3"/>
    <row r="172" s="34" customFormat="1" x14ac:dyDescent="0.3"/>
    <row r="173" s="34" customFormat="1" x14ac:dyDescent="0.3"/>
    <row r="174" s="34" customFormat="1" x14ac:dyDescent="0.3"/>
    <row r="175" s="34" customFormat="1" x14ac:dyDescent="0.3"/>
  </sheetData>
  <mergeCells count="4">
    <mergeCell ref="B5:C5"/>
    <mergeCell ref="B6:C6"/>
    <mergeCell ref="B35:C35"/>
    <mergeCell ref="A1:E1"/>
  </mergeCells>
  <pageMargins left="0.70866141732283472" right="0.70866141732283472" top="0.74803149606299213" bottom="0.74803149606299213" header="0.31496062992125984" footer="0.31496062992125984"/>
  <pageSetup paperSize="9" scale="85" orientation="portrait" verticalDpi="0"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Penerangan</vt:lpstr>
      <vt:lpstr>Input_ayam gunting</vt:lpstr>
      <vt:lpstr>Input_produk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hadza@gapps.kptm.edu.my</cp:lastModifiedBy>
  <cp:lastPrinted>2025-10-24T06:59:21Z</cp:lastPrinted>
  <dcterms:created xsi:type="dcterms:W3CDTF">2025-10-02T00:17:04Z</dcterms:created>
  <dcterms:modified xsi:type="dcterms:W3CDTF">2025-10-25T16:01:40Z</dcterms:modified>
</cp:coreProperties>
</file>